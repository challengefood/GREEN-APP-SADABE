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DABE 01\Downloads\"/>
    </mc:Choice>
  </mc:AlternateContent>
  <xr:revisionPtr revIDLastSave="0" documentId="8_{11E9A099-B7BF-463F-A03B-FC64D9FCB8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aurès" sheetId="1" r:id="rId1"/>
    <sheet name="Judicael" sheetId="3" r:id="rId2"/>
    <sheet name="Parametres_ONG" sheetId="2" state="hidden" r:id="rId3"/>
  </sheets>
  <definedNames>
    <definedName name="_xlnm.Print_Titles" localSheetId="0">Jaurès!$1:$11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F13" i="3" l="1"/>
  <c r="I13" i="3" s="1"/>
  <c r="F14" i="3"/>
  <c r="I14" i="3" s="1"/>
  <c r="F15" i="3"/>
  <c r="I15" i="3" s="1"/>
  <c r="F16" i="3"/>
  <c r="I16" i="3" s="1"/>
  <c r="F17" i="3"/>
  <c r="I17" i="3" s="1"/>
  <c r="I12" i="1"/>
  <c r="F15" i="1"/>
  <c r="I15" i="1" s="1"/>
  <c r="H19" i="3"/>
  <c r="D24" i="3" s="1"/>
  <c r="G19" i="3"/>
  <c r="D23" i="3" s="1"/>
  <c r="I18" i="3"/>
  <c r="F12" i="3"/>
  <c r="H19" i="1"/>
  <c r="D24" i="1" s="1"/>
  <c r="G19" i="1"/>
  <c r="D23" i="1" s="1"/>
  <c r="I18" i="1"/>
  <c r="I17" i="1"/>
  <c r="I16" i="1"/>
  <c r="F14" i="1"/>
  <c r="I14" i="1" s="1"/>
  <c r="F13" i="1"/>
  <c r="I13" i="1" s="1"/>
  <c r="F19" i="3" l="1"/>
  <c r="D22" i="3" s="1"/>
  <c r="D25" i="3" s="1"/>
  <c r="I12" i="3"/>
  <c r="I19" i="3" s="1"/>
  <c r="F19" i="1"/>
  <c r="D22" i="1" s="1"/>
  <c r="D25" i="1" s="1"/>
  <c r="I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F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Saisir ici le montant total du carburant, si applicable.</t>
        </r>
      </text>
    </comment>
    <comment ref="F1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Saisir ici le montant total des frais de déplacement.</t>
        </r>
      </text>
    </comment>
    <comment ref="J1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Expliquer la dépense imprévue : nature, raison, date, validation reçue et justificatif s'il existe.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F15" authorId="0" shapeId="0" xr:uid="{CA8FC2B1-8D52-48B5-9E28-D545F58FAC0B}">
      <text>
        <r>
          <rPr>
            <sz val="11"/>
            <color theme="1"/>
            <rFont val="Calibri"/>
            <family val="2"/>
            <scheme val="minor"/>
          </rPr>
          <t>Saisir ici le montant total du carburant, si applicable.</t>
        </r>
      </text>
    </comment>
    <comment ref="F16" authorId="0" shapeId="0" xr:uid="{36F778D5-8956-48B5-8FBC-1215F7A35844}">
      <text>
        <r>
          <rPr>
            <sz val="11"/>
            <color theme="1"/>
            <rFont val="Calibri"/>
            <family val="2"/>
            <scheme val="minor"/>
          </rPr>
          <t>Saisir ici le montant total des frais de déplacement.</t>
        </r>
      </text>
    </comment>
    <comment ref="J17" authorId="0" shapeId="0" xr:uid="{380A5133-65A3-4944-BC74-CA266AD563F3}">
      <text>
        <r>
          <rPr>
            <sz val="11"/>
            <color theme="1"/>
            <rFont val="Calibri"/>
            <family val="2"/>
            <scheme val="minor"/>
          </rPr>
          <t>Expliquer la dépense imprévue : nature, raison, date, validation reçue et justificatif s'il existe.</t>
        </r>
      </text>
    </comment>
  </commentList>
</comments>
</file>

<file path=xl/sharedStrings.xml><?xml version="1.0" encoding="utf-8"?>
<sst xmlns="http://schemas.openxmlformats.org/spreadsheetml/2006/main" count="163" uniqueCount="98">
  <si>
    <t>ONG</t>
  </si>
  <si>
    <t>SADABE</t>
  </si>
  <si>
    <t>Réf. mission</t>
  </si>
  <si>
    <t>Intitulé de la mission</t>
  </si>
  <si>
    <t>Responsable</t>
  </si>
  <si>
    <t>Lieu(x)</t>
  </si>
  <si>
    <t>Service / Projet</t>
  </si>
  <si>
    <t>Date départ</t>
  </si>
  <si>
    <t>Date retour</t>
  </si>
  <si>
    <t>Nb jours</t>
  </si>
  <si>
    <t>jours</t>
  </si>
  <si>
    <t>Bénéficiaire</t>
  </si>
  <si>
    <t>Date rapport</t>
  </si>
  <si>
    <t>1. DÉTAIL DES DROITS ET BESOINS DE MISSION</t>
  </si>
  <si>
    <t>N°</t>
  </si>
  <si>
    <t>Rubrique</t>
  </si>
  <si>
    <t>Base de calcul</t>
  </si>
  <si>
    <t>Qté / Jours</t>
  </si>
  <si>
    <t>Taux unitaire</t>
  </si>
  <si>
    <t>Total à percevoir</t>
  </si>
  <si>
    <t>Reçu avant mission</t>
  </si>
  <si>
    <t>Reçu pendant mission</t>
  </si>
  <si>
    <t>Reste</t>
  </si>
  <si>
    <t>Commentaires / justification</t>
  </si>
  <si>
    <t>1</t>
  </si>
  <si>
    <t>Per diem</t>
  </si>
  <si>
    <t>Nb jours x taux journalier</t>
  </si>
  <si>
    <t>2</t>
  </si>
  <si>
    <t>Hébergement</t>
  </si>
  <si>
    <t>Nb nuitées x coût unitaire</t>
  </si>
  <si>
    <t>3</t>
  </si>
  <si>
    <t>Déjeuner route</t>
  </si>
  <si>
    <t>Nb repas x coût unitaire</t>
  </si>
  <si>
    <t>4</t>
  </si>
  <si>
    <t>Carburant (si applicable)</t>
  </si>
  <si>
    <t>Distance / trajet / litres</t>
  </si>
  <si>
    <t>5</t>
  </si>
  <si>
    <t>Frais de déplacement (si applicable)</t>
  </si>
  <si>
    <t>Transport / billets / taxi / moto</t>
  </si>
  <si>
    <t>6</t>
  </si>
  <si>
    <t>Dépense imprévue</t>
  </si>
  <si>
    <t>Montant exceptionnel justifié</t>
  </si>
  <si>
    <t>7</t>
  </si>
  <si>
    <t>Autres frais</t>
  </si>
  <si>
    <t>À préciser</t>
  </si>
  <si>
    <t>TOTAL GÉNÉRAL</t>
  </si>
  <si>
    <t>Le reste = Total à percevoir - Reçu avant mission - Reçu pendant mission</t>
  </si>
  <si>
    <t>2. SYNTHÈSE FINANCIÈRE</t>
  </si>
  <si>
    <t>Total des besoins de mission</t>
  </si>
  <si>
    <t>Total reçu avant mission</t>
  </si>
  <si>
    <t>Total reçu pendant mission</t>
  </si>
  <si>
    <t>Somme restant à percevoir</t>
  </si>
  <si>
    <t>3. COMMENTAIRES GÉNÉRAUX / JUSTIFICATION DES IMPRÉVUS</t>
  </si>
  <si>
    <t>Préciser ici tout commentaire utile : motif de dépense imprévue, somme additionnelle reçue pendant la mission, écart entre le budget prévu et les besoins, validation reçue, ou autre explication.</t>
  </si>
  <si>
    <t>4. VALIDATION</t>
  </si>
  <si>
    <t>Préparé par</t>
  </si>
  <si>
    <t>Vérifié par</t>
  </si>
  <si>
    <t>Approuvé par</t>
  </si>
  <si>
    <t xml:space="preserve">
Nom, fonction, date et signature</t>
  </si>
  <si>
    <t>Document de référence SADABE - à utiliser pour toute mission terrain, réunion externe, formation, suivi ou déplacement officiel.</t>
  </si>
  <si>
    <t>Zones en bleu : à renseigner</t>
  </si>
  <si>
    <t>PARAMÈTRES ET RÈGLES DE RÉFÉRENCE - SADABE</t>
  </si>
  <si>
    <t>Paramètre</t>
  </si>
  <si>
    <t>Valeur</t>
  </si>
  <si>
    <t>Unité</t>
  </si>
  <si>
    <t>Observation</t>
  </si>
  <si>
    <t>Taux standard d'avance avant mission</t>
  </si>
  <si>
    <t>%</t>
  </si>
  <si>
    <t>Par défaut, l'avance de départ correspond à 50% du total des besoins.</t>
  </si>
  <si>
    <t>Per diem journalier (à adapter)</t>
  </si>
  <si>
    <t>Ar / jour</t>
  </si>
  <si>
    <t>À compléter selon la politique interne de SADABE.</t>
  </si>
  <si>
    <t>Hébergement unitaire (à adapter)</t>
  </si>
  <si>
    <t>Ar / nuit</t>
  </si>
  <si>
    <t>À compléter selon la zone ou le plafond interne.</t>
  </si>
  <si>
    <t>Déjeuner route unitaire (à adapter)</t>
  </si>
  <si>
    <t>Ar / repas</t>
  </si>
  <si>
    <t>À compléter selon la politique interne.</t>
  </si>
  <si>
    <t>Carburant</t>
  </si>
  <si>
    <t>Applicable</t>
  </si>
  <si>
    <t>Saisir directement le montant total prévu ou approuvé dans le rapport.</t>
  </si>
  <si>
    <t>Frais de déplacement</t>
  </si>
  <si>
    <t>Saisir directement le montant total prévu ou approuvé.</t>
  </si>
  <si>
    <t>Exception</t>
  </si>
  <si>
    <t>Toute dépense imprévue doit être expliquée dans la colonne commentaire.</t>
  </si>
  <si>
    <t>RÈGLE DE CALCUL DU RESTE À PERCEVOIR</t>
  </si>
  <si>
    <t>Reste à percevoir = Total à percevoir - Reçu avant mission - Reçu pendant mission.
La ligne 'Dépense imprévue' documente une dépense exceptionnelle. Si une somme supplémentaire est reçue pendant la mission, la renseigner dans la colonne 'Reçu pendant mission'.</t>
  </si>
  <si>
    <t>Total a percevoir</t>
  </si>
  <si>
    <t>Mahatsinjo</t>
  </si>
  <si>
    <t>Mission Field School /Sos Lemurs / Darwin</t>
  </si>
  <si>
    <t>Joachim Jaurès Ramaroson</t>
  </si>
  <si>
    <t>Jean Luc Raharison</t>
  </si>
  <si>
    <t>Jaurès Joachim Ramaroson</t>
  </si>
  <si>
    <t>Judicael Jean Nomenjanahary</t>
  </si>
  <si>
    <t xml:space="preserve"> RAPPORT FINANCIER DE MISSION</t>
  </si>
  <si>
    <t>RAPPORT FINANCIER DE MISSION</t>
  </si>
  <si>
    <t>Mission  Darwin Initiatives</t>
  </si>
  <si>
    <t>Mahatsinjo- Ambolomadinika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</si>
</sst>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Ar&quot;;[Red]\-#,##0\ &quot;Ar&quot;"/>
    <numFmt numFmtId="164" formatCode="#,##0_ ;[Red]\(#,##0\)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</font>
    <font>
      <b/>
      <sz val="11"/>
      <name val="Calibri"/>
    </font>
    <font>
      <i/>
      <sz val="11"/>
      <color rgb="FF666666"/>
      <name val="Calibri"/>
    </font>
    <font>
      <i/>
      <sz val="10"/>
      <color rgb="FF0000FF"/>
      <name val="Calibri"/>
    </font>
    <font>
      <b/>
      <sz val="14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6B8E23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DDEFEA"/>
      </patternFill>
    </fill>
    <fill>
      <patternFill patternType="solid">
        <fgColor rgb="FFFFFDF2"/>
      </patternFill>
    </fill>
    <fill>
      <patternFill patternType="solid">
        <fgColor rgb="FFEAF3E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355E3B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6" fillId="6" borderId="1" xfId="0" applyNumberFormat="1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164" fontId="4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9" fillId="0" borderId="0" xfId="0" applyFont="1"/>
    <xf numFmtId="0" fontId="0" fillId="5" borderId="1" xfId="0" applyFill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0" fillId="0" borderId="0" xfId="0"/>
    <xf numFmtId="0" fontId="0" fillId="4" borderId="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vertical="top" wrapText="1"/>
    </xf>
    <xf numFmtId="14" fontId="3" fillId="4" borderId="1" xfId="0" applyNumberFormat="1" applyFont="1" applyFill="1" applyBorder="1" applyAlignment="1">
      <alignment horizontal="left" vertical="center"/>
    </xf>
    <xf numFmtId="6" fontId="3" fillId="4" borderId="1" xfId="0" applyNumberFormat="1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F2FA17A-C201-4293-8A2A-49E89246F2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19250" cy="495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tabSelected="1" zoomScaleNormal="100" workbookViewId="0">
      <pane ySplit="10" topLeftCell="A12" activePane="bottomLeft" state="frozen"/>
      <selection pane="bottomLeft" activeCell="I17" sqref="I17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29.109375" customWidth="1"/>
    <col min="4" max="4" width="12" customWidth="1"/>
    <col min="5" max="5" width="14" customWidth="1"/>
    <col min="6" max="8" width="16" customWidth="1"/>
    <col min="9" max="9" width="15.44140625" customWidth="1"/>
    <col min="10" max="10" width="37.109375" customWidth="1"/>
  </cols>
  <sheetData>
    <row r="1" spans="1:10" x14ac:dyDescent="0.3">
      <c r="C1" s="28" t="s">
        <v>95</v>
      </c>
      <c r="D1" s="28"/>
      <c r="E1" s="28"/>
      <c r="F1" s="28"/>
      <c r="G1" s="28"/>
      <c r="H1" s="28"/>
      <c r="I1" s="28"/>
      <c r="J1" s="28"/>
    </row>
    <row r="2" spans="1:10" x14ac:dyDescent="0.3">
      <c r="C2" s="28"/>
      <c r="D2" s="28"/>
      <c r="E2" s="28"/>
      <c r="F2" s="28"/>
      <c r="G2" s="28"/>
      <c r="H2" s="28"/>
      <c r="I2" s="28"/>
      <c r="J2" s="28"/>
    </row>
    <row r="4" spans="1:10" x14ac:dyDescent="0.3">
      <c r="A4" s="21" t="s">
        <v>0</v>
      </c>
      <c r="B4" s="21"/>
      <c r="C4" s="30" t="s">
        <v>1</v>
      </c>
      <c r="D4" s="22"/>
      <c r="E4" s="22"/>
      <c r="F4" s="21" t="s">
        <v>2</v>
      </c>
      <c r="G4" s="21"/>
      <c r="H4" s="22"/>
      <c r="I4" s="22"/>
      <c r="J4" s="22"/>
    </row>
    <row r="5" spans="1:10" x14ac:dyDescent="0.3">
      <c r="A5" s="21" t="s">
        <v>3</v>
      </c>
      <c r="B5" s="21"/>
      <c r="C5" s="22" t="s">
        <v>96</v>
      </c>
      <c r="D5" s="22"/>
      <c r="E5" s="22"/>
      <c r="F5" s="22"/>
      <c r="G5" s="22"/>
      <c r="H5" s="21" t="s">
        <v>4</v>
      </c>
      <c r="I5" s="21"/>
      <c r="J5" s="2" t="s">
        <v>91</v>
      </c>
    </row>
    <row r="6" spans="1:10" x14ac:dyDescent="0.3">
      <c r="A6" s="21" t="s">
        <v>5</v>
      </c>
      <c r="B6" s="21"/>
      <c r="C6" s="22" t="s">
        <v>97</v>
      </c>
      <c r="D6" s="22"/>
      <c r="E6" s="22"/>
      <c r="F6" s="21" t="s">
        <v>6</v>
      </c>
      <c r="G6" s="21"/>
      <c r="H6" s="22"/>
      <c r="I6" s="22"/>
      <c r="J6" s="22"/>
    </row>
    <row r="7" spans="1:10" x14ac:dyDescent="0.3">
      <c r="A7" s="21" t="s">
        <v>7</v>
      </c>
      <c r="B7" s="21"/>
      <c r="C7" s="3">
        <v>46159</v>
      </c>
      <c r="D7" s="21" t="s">
        <v>8</v>
      </c>
      <c r="E7" s="21"/>
      <c r="F7" s="3">
        <v>46165</v>
      </c>
      <c r="G7" s="21" t="s">
        <v>9</v>
      </c>
      <c r="H7" s="21"/>
      <c r="I7" s="4"/>
      <c r="J7" s="1" t="s">
        <v>10</v>
      </c>
    </row>
    <row r="8" spans="1:10" x14ac:dyDescent="0.3">
      <c r="A8" s="21" t="s">
        <v>11</v>
      </c>
      <c r="B8" s="21"/>
      <c r="C8" s="22" t="s">
        <v>90</v>
      </c>
      <c r="D8" s="22"/>
      <c r="E8" s="22"/>
      <c r="F8" s="21" t="s">
        <v>12</v>
      </c>
      <c r="G8" s="21"/>
      <c r="H8" s="32">
        <v>46170</v>
      </c>
      <c r="I8" s="22"/>
      <c r="J8" s="22"/>
    </row>
    <row r="10" spans="1:10" ht="22.05" customHeight="1" x14ac:dyDescent="0.3">
      <c r="A10" s="27" t="s">
        <v>13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37.950000000000003" customHeight="1" x14ac:dyDescent="0.3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87</v>
      </c>
      <c r="G11" s="5" t="s">
        <v>20</v>
      </c>
      <c r="H11" s="5" t="s">
        <v>21</v>
      </c>
      <c r="I11" s="5" t="s">
        <v>22</v>
      </c>
      <c r="J11" s="5" t="s">
        <v>23</v>
      </c>
    </row>
    <row r="12" spans="1:10" x14ac:dyDescent="0.3">
      <c r="A12" s="6" t="s">
        <v>24</v>
      </c>
      <c r="B12" s="6" t="s">
        <v>25</v>
      </c>
      <c r="C12" s="6" t="s">
        <v>26</v>
      </c>
      <c r="D12" s="7">
        <v>7</v>
      </c>
      <c r="E12" s="7">
        <v>40000</v>
      </c>
      <c r="F12" s="8">
        <f>E12*D12</f>
        <v>280000</v>
      </c>
      <c r="G12" s="9">
        <f>F12/2</f>
        <v>140000</v>
      </c>
      <c r="H12" s="9"/>
      <c r="I12" s="8">
        <f>F12-G12</f>
        <v>140000</v>
      </c>
      <c r="J12" s="10"/>
    </row>
    <row r="13" spans="1:10" x14ac:dyDescent="0.3">
      <c r="A13" s="6" t="s">
        <v>27</v>
      </c>
      <c r="B13" s="6" t="s">
        <v>28</v>
      </c>
      <c r="C13" s="6" t="s">
        <v>29</v>
      </c>
      <c r="D13" s="7"/>
      <c r="E13" s="7"/>
      <c r="F13" s="8">
        <f>IF(OR(D13="",E13=""),0,D13*E13)</f>
        <v>0</v>
      </c>
      <c r="G13" s="9"/>
      <c r="H13" s="9"/>
      <c r="I13" s="8">
        <f t="shared" ref="I13:I15" si="0">F13-G13</f>
        <v>0</v>
      </c>
      <c r="J13" s="10"/>
    </row>
    <row r="14" spans="1:10" x14ac:dyDescent="0.3">
      <c r="A14" s="6" t="s">
        <v>30</v>
      </c>
      <c r="B14" s="6" t="s">
        <v>31</v>
      </c>
      <c r="C14" s="6" t="s">
        <v>32</v>
      </c>
      <c r="D14" s="7"/>
      <c r="E14" s="7"/>
      <c r="F14" s="8">
        <f>IF(OR(D14="",E14=""),0,D14*E14)</f>
        <v>0</v>
      </c>
      <c r="G14" s="9"/>
      <c r="H14" s="9"/>
      <c r="I14" s="8">
        <f t="shared" si="0"/>
        <v>0</v>
      </c>
      <c r="J14" s="10"/>
    </row>
    <row r="15" spans="1:10" x14ac:dyDescent="0.3">
      <c r="A15" s="6" t="s">
        <v>33</v>
      </c>
      <c r="B15" s="6" t="s">
        <v>34</v>
      </c>
      <c r="C15" s="6" t="s">
        <v>35</v>
      </c>
      <c r="D15" s="7">
        <v>0</v>
      </c>
      <c r="E15" s="7">
        <v>4900</v>
      </c>
      <c r="F15" s="11">
        <f>E15*D15</f>
        <v>0</v>
      </c>
      <c r="G15" s="9">
        <v>0</v>
      </c>
      <c r="H15" s="9"/>
      <c r="I15" s="8">
        <f t="shared" si="0"/>
        <v>0</v>
      </c>
      <c r="J15" s="10"/>
    </row>
    <row r="16" spans="1:10" ht="28.8" x14ac:dyDescent="0.3">
      <c r="A16" s="6" t="s">
        <v>36</v>
      </c>
      <c r="B16" s="6" t="s">
        <v>37</v>
      </c>
      <c r="C16" s="6" t="s">
        <v>38</v>
      </c>
      <c r="D16" s="7"/>
      <c r="E16" s="7"/>
      <c r="F16" s="11"/>
      <c r="G16" s="9"/>
      <c r="H16" s="9"/>
      <c r="I16" s="8">
        <f t="shared" ref="I16:I18" si="1">MAX(F16-G16-H16,0)</f>
        <v>0</v>
      </c>
      <c r="J16" s="10"/>
    </row>
    <row r="17" spans="1:10" x14ac:dyDescent="0.3">
      <c r="A17" s="6" t="s">
        <v>39</v>
      </c>
      <c r="B17" s="6" t="s">
        <v>40</v>
      </c>
      <c r="C17" s="6" t="s">
        <v>41</v>
      </c>
      <c r="D17" s="7"/>
      <c r="E17" s="7"/>
      <c r="F17" s="11"/>
      <c r="G17" s="9"/>
      <c r="H17" s="9"/>
      <c r="I17" s="8">
        <f t="shared" si="1"/>
        <v>0</v>
      </c>
      <c r="J17" s="10"/>
    </row>
    <row r="18" spans="1:10" x14ac:dyDescent="0.3">
      <c r="A18" s="6" t="s">
        <v>42</v>
      </c>
      <c r="B18" s="6" t="s">
        <v>43</v>
      </c>
      <c r="C18" s="6" t="s">
        <v>44</v>
      </c>
      <c r="D18" s="7"/>
      <c r="E18" s="7"/>
      <c r="F18" s="11"/>
      <c r="G18" s="9"/>
      <c r="H18" s="9"/>
      <c r="I18" s="8">
        <f t="shared" si="1"/>
        <v>0</v>
      </c>
      <c r="J18" s="10"/>
    </row>
    <row r="19" spans="1:10" ht="28.8" x14ac:dyDescent="0.3">
      <c r="A19" s="29" t="s">
        <v>45</v>
      </c>
      <c r="B19" s="29"/>
      <c r="C19" s="29"/>
      <c r="D19" s="29"/>
      <c r="E19" s="29"/>
      <c r="F19" s="12">
        <f>SUM(F12:F18)</f>
        <v>280000</v>
      </c>
      <c r="G19" s="12">
        <f>SUM(G12:G18)</f>
        <v>140000</v>
      </c>
      <c r="H19" s="12">
        <f>SUM(H12:H18)</f>
        <v>0</v>
      </c>
      <c r="I19" s="12">
        <f>SUM(I12:I18)</f>
        <v>140000</v>
      </c>
      <c r="J19" s="13" t="s">
        <v>46</v>
      </c>
    </row>
    <row r="21" spans="1:10" ht="22.05" customHeight="1" x14ac:dyDescent="0.3">
      <c r="A21" s="27" t="s">
        <v>47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3">
      <c r="A22" s="21" t="s">
        <v>48</v>
      </c>
      <c r="B22" s="21"/>
      <c r="C22" s="21"/>
      <c r="D22" s="23">
        <f>F19</f>
        <v>280000</v>
      </c>
      <c r="E22" s="23"/>
    </row>
    <row r="23" spans="1:10" x14ac:dyDescent="0.3">
      <c r="A23" s="21" t="s">
        <v>49</v>
      </c>
      <c r="B23" s="21"/>
      <c r="C23" s="21"/>
      <c r="D23" s="23">
        <f>G19</f>
        <v>140000</v>
      </c>
      <c r="E23" s="23"/>
    </row>
    <row r="24" spans="1:10" x14ac:dyDescent="0.3">
      <c r="A24" s="21" t="s">
        <v>50</v>
      </c>
      <c r="B24" s="21"/>
      <c r="C24" s="21"/>
      <c r="D24" s="23">
        <f>H19</f>
        <v>0</v>
      </c>
      <c r="E24" s="23"/>
    </row>
    <row r="25" spans="1:10" x14ac:dyDescent="0.3">
      <c r="A25" s="21" t="s">
        <v>51</v>
      </c>
      <c r="B25" s="21"/>
      <c r="C25" s="21"/>
      <c r="D25" s="23">
        <f>MAX(D22-D23-D24,0)</f>
        <v>140000</v>
      </c>
      <c r="E25" s="23"/>
    </row>
    <row r="27" spans="1:10" ht="22.05" customHeight="1" x14ac:dyDescent="0.3">
      <c r="A27" s="27" t="s">
        <v>52</v>
      </c>
      <c r="B27" s="27"/>
      <c r="C27" s="27"/>
      <c r="D27" s="27"/>
      <c r="E27" s="27"/>
      <c r="F27" s="27"/>
      <c r="G27" s="27"/>
      <c r="H27" s="27"/>
      <c r="I27" s="27"/>
      <c r="J27" s="27"/>
    </row>
    <row r="28" spans="1:10" x14ac:dyDescent="0.3">
      <c r="A28" s="31" t="s">
        <v>53</v>
      </c>
      <c r="B28" s="31"/>
      <c r="C28" s="31"/>
      <c r="D28" s="31"/>
      <c r="E28" s="31"/>
      <c r="F28" s="31"/>
      <c r="G28" s="31"/>
      <c r="H28" s="31"/>
      <c r="I28" s="31"/>
      <c r="J28" s="31"/>
    </row>
    <row r="29" spans="1:10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3" spans="1:10" ht="22.05" customHeight="1" x14ac:dyDescent="0.3">
      <c r="A33" s="27" t="s">
        <v>54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3">
      <c r="A34" s="20" t="s">
        <v>55</v>
      </c>
      <c r="B34" s="20"/>
      <c r="C34" s="20"/>
      <c r="D34" s="20" t="s">
        <v>56</v>
      </c>
      <c r="E34" s="20"/>
      <c r="F34" s="20"/>
      <c r="G34" s="20" t="s">
        <v>57</v>
      </c>
      <c r="H34" s="20"/>
      <c r="I34" s="20"/>
      <c r="J34" s="20"/>
    </row>
    <row r="35" spans="1:10" x14ac:dyDescent="0.3">
      <c r="A35" s="26" t="s">
        <v>58</v>
      </c>
      <c r="B35" s="26"/>
      <c r="C35" s="26"/>
      <c r="D35" s="26" t="s">
        <v>58</v>
      </c>
      <c r="E35" s="26"/>
      <c r="F35" s="26"/>
      <c r="G35" s="26" t="s">
        <v>58</v>
      </c>
      <c r="H35" s="26"/>
      <c r="I35" s="26"/>
      <c r="J35" s="26"/>
    </row>
    <row r="36" spans="1:10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40" spans="1:10" x14ac:dyDescent="0.3">
      <c r="A40" s="24" t="s">
        <v>59</v>
      </c>
      <c r="B40" s="25"/>
      <c r="C40" s="25"/>
      <c r="D40" s="25"/>
      <c r="E40" s="25"/>
      <c r="F40" s="25"/>
      <c r="G40" s="25"/>
      <c r="H40" s="25"/>
      <c r="J40" s="15"/>
    </row>
  </sheetData>
  <mergeCells count="40">
    <mergeCell ref="C1:J2"/>
    <mergeCell ref="G34:J34"/>
    <mergeCell ref="H4:J4"/>
    <mergeCell ref="A19:E19"/>
    <mergeCell ref="C4:E4"/>
    <mergeCell ref="A21:J21"/>
    <mergeCell ref="H5:I5"/>
    <mergeCell ref="D23:E23"/>
    <mergeCell ref="A28:J31"/>
    <mergeCell ref="A33:J33"/>
    <mergeCell ref="H6:J6"/>
    <mergeCell ref="D7:E7"/>
    <mergeCell ref="H8:J8"/>
    <mergeCell ref="A34:C34"/>
    <mergeCell ref="A8:B8"/>
    <mergeCell ref="A24:C24"/>
    <mergeCell ref="A40:H40"/>
    <mergeCell ref="A4:B4"/>
    <mergeCell ref="D25:E25"/>
    <mergeCell ref="G35:J38"/>
    <mergeCell ref="D24:E24"/>
    <mergeCell ref="A27:J27"/>
    <mergeCell ref="D35:F38"/>
    <mergeCell ref="A10:J10"/>
    <mergeCell ref="A6:B6"/>
    <mergeCell ref="A35:C38"/>
    <mergeCell ref="A7:B7"/>
    <mergeCell ref="G7:H7"/>
    <mergeCell ref="A23:C23"/>
    <mergeCell ref="C8:E8"/>
    <mergeCell ref="A22:C22"/>
    <mergeCell ref="F8:G8"/>
    <mergeCell ref="D34:F34"/>
    <mergeCell ref="F4:G4"/>
    <mergeCell ref="A25:C25"/>
    <mergeCell ref="C5:G5"/>
    <mergeCell ref="F6:G6"/>
    <mergeCell ref="D22:E22"/>
    <mergeCell ref="A5:B5"/>
    <mergeCell ref="C6:E6"/>
  </mergeCells>
  <dataValidations count="2">
    <dataValidation type="decimal" operator="greaterThanOrEqual" allowBlank="1" sqref="E12:E18 F15:F18 G12:H18" xr:uid="{00000000-0002-0000-0000-000000000000}">
      <formula1>0</formula1>
    </dataValidation>
    <dataValidation type="whole" operator="greaterThanOrEqual" allowBlank="1" sqref="D12:D18" xr:uid="{00000000-0002-0000-0000-000001000000}">
      <formula1>0</formula1>
    </dataValidation>
  </dataValidations>
  <pageMargins left="0.3" right="0.3" top="0.5" bottom="0.5" header="0.5" footer="0.5"/>
  <pageSetup paperSize="9" scale="5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3EBB-57F3-41FF-9C81-21656A05611B}">
  <dimension ref="A1:J40"/>
  <sheetViews>
    <sheetView workbookViewId="0">
      <selection activeCell="F23" sqref="F23"/>
    </sheetView>
  </sheetViews>
  <sheetFormatPr baseColWidth="10" defaultRowHeight="14.4" x14ac:dyDescent="0.3"/>
  <cols>
    <col min="1" max="1" width="5" customWidth="1"/>
    <col min="2" max="2" width="28" customWidth="1"/>
    <col min="3" max="3" width="18" customWidth="1"/>
    <col min="4" max="4" width="12" customWidth="1"/>
    <col min="5" max="5" width="14" customWidth="1"/>
    <col min="6" max="9" width="16" customWidth="1"/>
    <col min="10" max="10" width="28" customWidth="1"/>
  </cols>
  <sheetData>
    <row r="1" spans="1:10" x14ac:dyDescent="0.3">
      <c r="C1" s="28" t="s">
        <v>94</v>
      </c>
      <c r="D1" s="28"/>
      <c r="E1" s="28"/>
      <c r="F1" s="28"/>
      <c r="G1" s="28"/>
      <c r="H1" s="28"/>
      <c r="I1" s="28"/>
      <c r="J1" s="28"/>
    </row>
    <row r="2" spans="1:10" x14ac:dyDescent="0.3">
      <c r="C2" s="28"/>
      <c r="D2" s="28"/>
      <c r="E2" s="28"/>
      <c r="F2" s="28"/>
      <c r="G2" s="28"/>
      <c r="H2" s="28"/>
      <c r="I2" s="28"/>
      <c r="J2" s="28"/>
    </row>
    <row r="4" spans="1:10" x14ac:dyDescent="0.3">
      <c r="A4" s="21" t="s">
        <v>0</v>
      </c>
      <c r="B4" s="21"/>
      <c r="C4" s="30" t="s">
        <v>1</v>
      </c>
      <c r="D4" s="22"/>
      <c r="E4" s="22"/>
      <c r="F4" s="21" t="s">
        <v>2</v>
      </c>
      <c r="G4" s="21"/>
      <c r="H4" s="22"/>
      <c r="I4" s="22"/>
      <c r="J4" s="22"/>
    </row>
    <row r="5" spans="1:10" x14ac:dyDescent="0.3">
      <c r="A5" s="21" t="s">
        <v>3</v>
      </c>
      <c r="B5" s="21"/>
      <c r="C5" s="22" t="s">
        <v>89</v>
      </c>
      <c r="D5" s="22"/>
      <c r="E5" s="22"/>
      <c r="F5" s="22"/>
      <c r="G5" s="22"/>
      <c r="H5" s="21" t="s">
        <v>4</v>
      </c>
      <c r="I5" s="21"/>
      <c r="J5" s="2" t="s">
        <v>92</v>
      </c>
    </row>
    <row r="6" spans="1:10" x14ac:dyDescent="0.3">
      <c r="A6" s="21" t="s">
        <v>5</v>
      </c>
      <c r="B6" s="21"/>
      <c r="C6" s="33" t="s">
        <v>88</v>
      </c>
      <c r="D6" s="33"/>
      <c r="E6" s="33"/>
      <c r="F6" s="21" t="s">
        <v>6</v>
      </c>
      <c r="G6" s="21"/>
      <c r="H6" s="22"/>
      <c r="I6" s="22"/>
      <c r="J6" s="22"/>
    </row>
    <row r="7" spans="1:10" x14ac:dyDescent="0.3">
      <c r="A7" s="21" t="s">
        <v>7</v>
      </c>
      <c r="B7" s="21"/>
      <c r="C7" s="3">
        <v>46127</v>
      </c>
      <c r="D7" s="21" t="s">
        <v>8</v>
      </c>
      <c r="E7" s="21"/>
      <c r="F7" s="3">
        <v>46143</v>
      </c>
      <c r="G7" s="21" t="s">
        <v>9</v>
      </c>
      <c r="H7" s="21"/>
      <c r="I7" s="4"/>
      <c r="J7" s="1" t="s">
        <v>10</v>
      </c>
    </row>
    <row r="8" spans="1:10" x14ac:dyDescent="0.3">
      <c r="A8" s="21" t="s">
        <v>11</v>
      </c>
      <c r="B8" s="21"/>
      <c r="C8" s="22" t="s">
        <v>93</v>
      </c>
      <c r="D8" s="22"/>
      <c r="E8" s="22"/>
      <c r="F8" s="21" t="s">
        <v>12</v>
      </c>
      <c r="G8" s="21"/>
      <c r="H8" s="32"/>
      <c r="I8" s="22"/>
      <c r="J8" s="22"/>
    </row>
    <row r="10" spans="1:10" ht="15.6" x14ac:dyDescent="0.3">
      <c r="A10" s="27" t="s">
        <v>13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28.8" x14ac:dyDescent="0.3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5" t="s">
        <v>23</v>
      </c>
    </row>
    <row r="12" spans="1:10" ht="28.8" x14ac:dyDescent="0.3">
      <c r="A12" s="6" t="s">
        <v>24</v>
      </c>
      <c r="B12" s="6" t="s">
        <v>25</v>
      </c>
      <c r="C12" s="6" t="s">
        <v>26</v>
      </c>
      <c r="D12" s="7">
        <v>18</v>
      </c>
      <c r="E12" s="7">
        <v>40000</v>
      </c>
      <c r="F12" s="8">
        <f>IF(OR(D12="",E12=""),0,D12*E12)</f>
        <v>720000</v>
      </c>
      <c r="G12" s="9">
        <v>320000</v>
      </c>
      <c r="H12" s="9"/>
      <c r="I12" s="8">
        <f t="shared" ref="I12:I18" si="0">MAX(F12-G12-H12,0)</f>
        <v>400000</v>
      </c>
      <c r="J12" s="10"/>
    </row>
    <row r="13" spans="1:10" ht="28.8" x14ac:dyDescent="0.3">
      <c r="A13" s="6" t="s">
        <v>27</v>
      </c>
      <c r="B13" s="6" t="s">
        <v>28</v>
      </c>
      <c r="C13" s="6" t="s">
        <v>29</v>
      </c>
      <c r="D13" s="7"/>
      <c r="E13" s="7"/>
      <c r="F13" s="8">
        <f t="shared" ref="F13:F17" si="1">IF(OR(D13="",E13=""),0,D13*E13)</f>
        <v>0</v>
      </c>
      <c r="G13" s="9"/>
      <c r="H13" s="9"/>
      <c r="I13" s="8">
        <f t="shared" si="0"/>
        <v>0</v>
      </c>
      <c r="J13" s="10"/>
    </row>
    <row r="14" spans="1:10" ht="28.8" x14ac:dyDescent="0.3">
      <c r="A14" s="6" t="s">
        <v>30</v>
      </c>
      <c r="B14" s="6" t="s">
        <v>31</v>
      </c>
      <c r="C14" s="6" t="s">
        <v>32</v>
      </c>
      <c r="D14" s="7"/>
      <c r="E14" s="7"/>
      <c r="F14" s="8">
        <f t="shared" si="1"/>
        <v>0</v>
      </c>
      <c r="G14" s="9"/>
      <c r="H14" s="9"/>
      <c r="I14" s="8">
        <f t="shared" si="0"/>
        <v>0</v>
      </c>
      <c r="J14" s="10"/>
    </row>
    <row r="15" spans="1:10" ht="28.8" x14ac:dyDescent="0.3">
      <c r="A15" s="6" t="s">
        <v>33</v>
      </c>
      <c r="B15" s="6" t="s">
        <v>34</v>
      </c>
      <c r="C15" s="6" t="s">
        <v>35</v>
      </c>
      <c r="D15" s="7">
        <v>20</v>
      </c>
      <c r="E15" s="7">
        <v>4900</v>
      </c>
      <c r="F15" s="8">
        <f t="shared" si="1"/>
        <v>98000</v>
      </c>
      <c r="G15" s="9">
        <v>98000</v>
      </c>
      <c r="H15" s="9"/>
      <c r="I15" s="8">
        <f>F15-G15</f>
        <v>0</v>
      </c>
      <c r="J15" s="10"/>
    </row>
    <row r="16" spans="1:10" ht="28.8" x14ac:dyDescent="0.3">
      <c r="A16" s="6" t="s">
        <v>36</v>
      </c>
      <c r="B16" s="6" t="s">
        <v>37</v>
      </c>
      <c r="C16" s="6" t="s">
        <v>38</v>
      </c>
      <c r="D16" s="7"/>
      <c r="E16" s="7"/>
      <c r="F16" s="8">
        <f t="shared" si="1"/>
        <v>0</v>
      </c>
      <c r="G16" s="9"/>
      <c r="H16" s="9"/>
      <c r="I16" s="8">
        <f t="shared" si="0"/>
        <v>0</v>
      </c>
      <c r="J16" s="10"/>
    </row>
    <row r="17" spans="1:10" ht="28.8" x14ac:dyDescent="0.3">
      <c r="A17" s="6" t="s">
        <v>39</v>
      </c>
      <c r="B17" s="6" t="s">
        <v>40</v>
      </c>
      <c r="C17" s="6" t="s">
        <v>41</v>
      </c>
      <c r="D17" s="7"/>
      <c r="E17" s="7"/>
      <c r="F17" s="8">
        <f t="shared" si="1"/>
        <v>0</v>
      </c>
      <c r="G17" s="9"/>
      <c r="H17" s="9"/>
      <c r="I17" s="8">
        <f t="shared" si="0"/>
        <v>0</v>
      </c>
      <c r="J17" s="10"/>
    </row>
    <row r="18" spans="1:10" ht="15" thickBot="1" x14ac:dyDescent="0.35">
      <c r="A18" s="6" t="s">
        <v>42</v>
      </c>
      <c r="B18" s="6" t="s">
        <v>43</v>
      </c>
      <c r="C18" s="6" t="s">
        <v>44</v>
      </c>
      <c r="D18" s="7"/>
      <c r="E18" s="7"/>
      <c r="F18" s="11"/>
      <c r="G18" s="9"/>
      <c r="H18" s="9"/>
      <c r="I18" s="8">
        <f t="shared" si="0"/>
        <v>0</v>
      </c>
      <c r="J18" s="10"/>
    </row>
    <row r="19" spans="1:10" ht="43.2" x14ac:dyDescent="0.3">
      <c r="A19" s="29" t="s">
        <v>45</v>
      </c>
      <c r="B19" s="29"/>
      <c r="C19" s="29"/>
      <c r="D19" s="29"/>
      <c r="E19" s="29"/>
      <c r="F19" s="12">
        <f>SUM(F12:F18)</f>
        <v>818000</v>
      </c>
      <c r="G19" s="12">
        <f>SUM(G12:G18)</f>
        <v>418000</v>
      </c>
      <c r="H19" s="12">
        <f>SUM(H12:H18)</f>
        <v>0</v>
      </c>
      <c r="I19" s="12">
        <f>SUM(I12:I18)</f>
        <v>400000</v>
      </c>
      <c r="J19" s="13" t="s">
        <v>46</v>
      </c>
    </row>
    <row r="21" spans="1:10" ht="15.6" x14ac:dyDescent="0.3">
      <c r="A21" s="27" t="s">
        <v>47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 x14ac:dyDescent="0.3">
      <c r="A22" s="21" t="s">
        <v>48</v>
      </c>
      <c r="B22" s="21"/>
      <c r="C22" s="21"/>
      <c r="D22" s="23">
        <f>F19</f>
        <v>818000</v>
      </c>
      <c r="E22" s="23"/>
    </row>
    <row r="23" spans="1:10" x14ac:dyDescent="0.3">
      <c r="A23" s="21" t="s">
        <v>49</v>
      </c>
      <c r="B23" s="21"/>
      <c r="C23" s="21"/>
      <c r="D23" s="23">
        <f>G19</f>
        <v>418000</v>
      </c>
      <c r="E23" s="23"/>
    </row>
    <row r="24" spans="1:10" x14ac:dyDescent="0.3">
      <c r="A24" s="21" t="s">
        <v>50</v>
      </c>
      <c r="B24" s="21"/>
      <c r="C24" s="21"/>
      <c r="D24" s="23">
        <f>H19</f>
        <v>0</v>
      </c>
      <c r="E24" s="23"/>
    </row>
    <row r="25" spans="1:10" x14ac:dyDescent="0.3">
      <c r="A25" s="21" t="s">
        <v>51</v>
      </c>
      <c r="B25" s="21"/>
      <c r="C25" s="21"/>
      <c r="D25" s="23">
        <f>MAX(D22-D23-D24,0)</f>
        <v>400000</v>
      </c>
      <c r="E25" s="23"/>
    </row>
    <row r="27" spans="1:10" ht="15.6" x14ac:dyDescent="0.3">
      <c r="A27" s="27" t="s">
        <v>52</v>
      </c>
      <c r="B27" s="27"/>
      <c r="C27" s="27"/>
      <c r="D27" s="27"/>
      <c r="E27" s="27"/>
      <c r="F27" s="27"/>
      <c r="G27" s="27"/>
      <c r="H27" s="27"/>
      <c r="I27" s="27"/>
      <c r="J27" s="27"/>
    </row>
    <row r="28" spans="1:10" x14ac:dyDescent="0.3">
      <c r="A28" s="31" t="s">
        <v>53</v>
      </c>
      <c r="B28" s="31"/>
      <c r="C28" s="31"/>
      <c r="D28" s="31"/>
      <c r="E28" s="31"/>
      <c r="F28" s="31"/>
      <c r="G28" s="31"/>
      <c r="H28" s="31"/>
      <c r="I28" s="31"/>
      <c r="J28" s="31"/>
    </row>
    <row r="29" spans="1:10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3" spans="1:10" ht="15.6" x14ac:dyDescent="0.3">
      <c r="A33" s="27" t="s">
        <v>54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x14ac:dyDescent="0.3">
      <c r="A34" s="20" t="s">
        <v>55</v>
      </c>
      <c r="B34" s="20"/>
      <c r="C34" s="20"/>
      <c r="D34" s="20" t="s">
        <v>56</v>
      </c>
      <c r="E34" s="20"/>
      <c r="F34" s="20"/>
      <c r="G34" s="20" t="s">
        <v>57</v>
      </c>
      <c r="H34" s="20"/>
      <c r="I34" s="20"/>
      <c r="J34" s="20"/>
    </row>
    <row r="35" spans="1:10" x14ac:dyDescent="0.3">
      <c r="A35" s="26" t="s">
        <v>58</v>
      </c>
      <c r="B35" s="26"/>
      <c r="C35" s="26"/>
      <c r="D35" s="26" t="s">
        <v>58</v>
      </c>
      <c r="E35" s="26"/>
      <c r="F35" s="26"/>
      <c r="G35" s="26" t="s">
        <v>58</v>
      </c>
      <c r="H35" s="26"/>
      <c r="I35" s="26"/>
      <c r="J35" s="26"/>
    </row>
    <row r="36" spans="1:10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40" spans="1:10" x14ac:dyDescent="0.3">
      <c r="A40" s="24" t="s">
        <v>59</v>
      </c>
      <c r="B40" s="25"/>
      <c r="C40" s="25"/>
      <c r="D40" s="25"/>
      <c r="E40" s="25"/>
      <c r="F40" s="25"/>
      <c r="G40" s="25"/>
      <c r="H40" s="25"/>
      <c r="J40" s="15" t="s">
        <v>60</v>
      </c>
    </row>
  </sheetData>
  <mergeCells count="40">
    <mergeCell ref="A35:C38"/>
    <mergeCell ref="D35:F38"/>
    <mergeCell ref="G35:J38"/>
    <mergeCell ref="A40:H40"/>
    <mergeCell ref="A25:C25"/>
    <mergeCell ref="D25:E25"/>
    <mergeCell ref="A27:J27"/>
    <mergeCell ref="A28:J31"/>
    <mergeCell ref="A33:J33"/>
    <mergeCell ref="A34:C34"/>
    <mergeCell ref="D34:F34"/>
    <mergeCell ref="G34:J34"/>
    <mergeCell ref="A24:C24"/>
    <mergeCell ref="D24:E24"/>
    <mergeCell ref="A8:B8"/>
    <mergeCell ref="C8:E8"/>
    <mergeCell ref="F8:G8"/>
    <mergeCell ref="A21:J21"/>
    <mergeCell ref="A22:C22"/>
    <mergeCell ref="D22:E22"/>
    <mergeCell ref="A23:C23"/>
    <mergeCell ref="D23:E23"/>
    <mergeCell ref="H8:J8"/>
    <mergeCell ref="A10:J10"/>
    <mergeCell ref="A19:E19"/>
    <mergeCell ref="A6:B6"/>
    <mergeCell ref="C6:E6"/>
    <mergeCell ref="F6:G6"/>
    <mergeCell ref="H6:J6"/>
    <mergeCell ref="A7:B7"/>
    <mergeCell ref="D7:E7"/>
    <mergeCell ref="G7:H7"/>
    <mergeCell ref="A5:B5"/>
    <mergeCell ref="C5:G5"/>
    <mergeCell ref="H5:I5"/>
    <mergeCell ref="C1:J2"/>
    <mergeCell ref="A4:B4"/>
    <mergeCell ref="C4:E4"/>
    <mergeCell ref="F4:G4"/>
    <mergeCell ref="H4:J4"/>
  </mergeCells>
  <dataValidations count="2">
    <dataValidation type="whole" operator="greaterThanOrEqual" allowBlank="1" sqref="D12:D18" xr:uid="{153F993C-716F-4FC6-BB74-E936D29FA385}">
      <formula1>0</formula1>
    </dataValidation>
    <dataValidation type="decimal" operator="greaterThanOrEqual" allowBlank="1" sqref="E12:E18 G12:H18 F18" xr:uid="{8A0BA851-C4EE-4860-B4A4-D6B1AC36BA8B}">
      <formula1>0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8.88671875" defaultRowHeight="14.4" x14ac:dyDescent="0.3"/>
  <cols>
    <col min="1" max="1" width="30" customWidth="1"/>
    <col min="2" max="3" width="18" customWidth="1"/>
    <col min="4" max="4" width="60" customWidth="1"/>
  </cols>
  <sheetData>
    <row r="1" spans="1:4" ht="18" x14ac:dyDescent="0.35">
      <c r="A1" s="34" t="s">
        <v>61</v>
      </c>
      <c r="B1" s="34"/>
      <c r="C1" s="34"/>
      <c r="D1" s="34"/>
    </row>
    <row r="3" spans="1:4" x14ac:dyDescent="0.3">
      <c r="A3" s="14" t="s">
        <v>62</v>
      </c>
      <c r="B3" s="14" t="s">
        <v>63</v>
      </c>
      <c r="C3" s="14" t="s">
        <v>64</v>
      </c>
      <c r="D3" s="14" t="s">
        <v>65</v>
      </c>
    </row>
    <row r="4" spans="1:4" ht="28.8" x14ac:dyDescent="0.3">
      <c r="A4" s="16" t="s">
        <v>66</v>
      </c>
      <c r="B4" s="17">
        <v>0.5</v>
      </c>
      <c r="C4" s="18" t="s">
        <v>67</v>
      </c>
      <c r="D4" s="18" t="s">
        <v>68</v>
      </c>
    </row>
    <row r="5" spans="1:4" x14ac:dyDescent="0.3">
      <c r="A5" s="16" t="s">
        <v>69</v>
      </c>
      <c r="B5" s="19"/>
      <c r="C5" s="18" t="s">
        <v>70</v>
      </c>
      <c r="D5" s="18" t="s">
        <v>71</v>
      </c>
    </row>
    <row r="6" spans="1:4" x14ac:dyDescent="0.3">
      <c r="A6" s="16" t="s">
        <v>72</v>
      </c>
      <c r="B6" s="19"/>
      <c r="C6" s="18" t="s">
        <v>73</v>
      </c>
      <c r="D6" s="18" t="s">
        <v>74</v>
      </c>
    </row>
    <row r="7" spans="1:4" x14ac:dyDescent="0.3">
      <c r="A7" s="16" t="s">
        <v>75</v>
      </c>
      <c r="B7" s="19"/>
      <c r="C7" s="18" t="s">
        <v>76</v>
      </c>
      <c r="D7" s="18" t="s">
        <v>77</v>
      </c>
    </row>
    <row r="8" spans="1:4" x14ac:dyDescent="0.3">
      <c r="A8" s="16" t="s">
        <v>78</v>
      </c>
      <c r="B8" s="19" t="s">
        <v>79</v>
      </c>
      <c r="C8" s="18"/>
      <c r="D8" s="18" t="s">
        <v>80</v>
      </c>
    </row>
    <row r="9" spans="1:4" x14ac:dyDescent="0.3">
      <c r="A9" s="16" t="s">
        <v>81</v>
      </c>
      <c r="B9" s="19" t="s">
        <v>79</v>
      </c>
      <c r="C9" s="18"/>
      <c r="D9" s="18" t="s">
        <v>82</v>
      </c>
    </row>
    <row r="10" spans="1:4" ht="28.8" x14ac:dyDescent="0.3">
      <c r="A10" s="16" t="s">
        <v>40</v>
      </c>
      <c r="B10" s="19" t="s">
        <v>83</v>
      </c>
      <c r="C10" s="18"/>
      <c r="D10" s="18" t="s">
        <v>84</v>
      </c>
    </row>
    <row r="12" spans="1:4" x14ac:dyDescent="0.3">
      <c r="A12" s="35" t="s">
        <v>85</v>
      </c>
      <c r="B12" s="35"/>
      <c r="C12" s="35"/>
      <c r="D12" s="35"/>
    </row>
    <row r="13" spans="1:4" x14ac:dyDescent="0.3">
      <c r="A13" s="31" t="s">
        <v>86</v>
      </c>
      <c r="B13" s="31"/>
      <c r="C13" s="31"/>
      <c r="D13" s="31"/>
    </row>
    <row r="14" spans="1:4" x14ac:dyDescent="0.3">
      <c r="A14" s="31"/>
      <c r="B14" s="31"/>
      <c r="C14" s="31"/>
      <c r="D14" s="31"/>
    </row>
    <row r="15" spans="1:4" x14ac:dyDescent="0.3">
      <c r="A15" s="31"/>
      <c r="B15" s="31"/>
      <c r="C15" s="31"/>
      <c r="D15" s="31"/>
    </row>
  </sheetData>
  <mergeCells count="3">
    <mergeCell ref="A13:D15"/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Jaurès</vt:lpstr>
      <vt:lpstr>Judicael</vt:lpstr>
      <vt:lpstr>Parametres_ONG</vt:lpstr>
      <vt:lpstr>Jaurès!Impression_des_titres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Joachim Jaurès RAMARSOSON</cp:lastModifiedBy>
  <dcterms:created xsi:type="dcterms:W3CDTF">2026-03-27T13:06:02Z</dcterms:created>
  <dcterms:modified xsi:type="dcterms:W3CDTF">2026-06-04T07:59:26Z</dcterms:modified>
</cp:coreProperties>
</file>